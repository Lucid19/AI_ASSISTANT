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uma\Downloads\"/>
    </mc:Choice>
  </mc:AlternateContent>
  <xr:revisionPtr revIDLastSave="0" documentId="8_{6B15358C-330E-4FAC-86CC-DC65189258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M_DigiKey_Active_Stock" sheetId="3" r:id="rId1"/>
    <sheet name="BOM" sheetId="2" r:id="rId2"/>
    <sheet name="Sheet 1" sheetId="1" r:id="rId3"/>
  </sheets>
  <definedNames>
    <definedName name="ExternalData_1" localSheetId="1" hidden="1">BOM!$A$1:$D$33</definedName>
    <definedName name="ExternalData_2" localSheetId="0" hidden="1">BOM_DigiKey_Active_Stock!$A$1:$K$33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3" l="1"/>
  <c r="H9" i="2"/>
  <c r="H8" i="2"/>
  <c r="H10" i="2"/>
  <c r="H7" i="2"/>
  <c r="H6" i="2"/>
  <c r="H5" i="2"/>
  <c r="H4" i="2"/>
  <c r="H3" i="2"/>
  <c r="H2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461D9-136D-49BD-B371-7DEFA5A4FF5C}" keepAlive="1" name="Query - BOM" description="Connection to the 'BOM' query in the workbook." type="5" refreshedVersion="8" background="1" saveData="1">
    <dbPr connection="Provider=Microsoft.Mashup.OleDb.1;Data Source=$Workbook$;Location=BOM;Extended Properties=&quot;&quot;" command="SELECT * FROM [BOM]"/>
  </connection>
  <connection id="2" xr16:uid="{EF14837D-B7E7-4E09-AD1E-6DBE8AED2723}" keepAlive="1" name="Query - BOM_DigiKey_Active_Stock" description="Connection to the 'BOM_DigiKey_Active_Stock' query in the workbook." type="5" refreshedVersion="8" background="1" saveData="1">
    <dbPr connection="Provider=Microsoft.Mashup.OleDb.1;Data Source=$Workbook$;Location=BOM_DigiKey_Active_Stock;Extended Properties=&quot;&quot;" command="SELECT * FROM [BOM_DigiKey_Active_Stock]"/>
  </connection>
</connections>
</file>

<file path=xl/sharedStrings.xml><?xml version="1.0" encoding="utf-8"?>
<sst xmlns="http://schemas.openxmlformats.org/spreadsheetml/2006/main" count="432" uniqueCount="168">
  <si>
    <t>"""Reference"",""Value"",""Datasheet"",""Footprint"",""Qty"",""DNP"""</t>
  </si>
  <si>
    <t>"C1,C2,C14,C15,C16,C17","1uF","~","Capacitor_SMD:C_1206_3216Metric_Pad1.33x1.80mm_HandSolder","6",""</t>
  </si>
  <si>
    <t>"C3","1.5nF","~","Capacitor_SMD:C_1206_3216Metric_Pad1.33x1.80mm_HandSolder","1",""</t>
  </si>
  <si>
    <t>"C4,C8,C9,C18","0.1uF","~","Capacitor_SMD:C_1206_3216Metric_Pad1.33x1.80mm_HandSolder","4",""</t>
  </si>
  <si>
    <t>"C5,C6,C7,C10,C11,C12,C13","10uF","~","Capacitor_SMD:C_1206_3216Metric_Pad1.33x1.80mm_HandSolder","7",""</t>
  </si>
  <si>
    <t>"D1,D3","SB120","http://www.diodes.com/_files/datasheets/ds23022.pdf","Diode_THT:D_DO-41_SOD81_P10.16mm_Horizontal","2",""</t>
  </si>
  <si>
    <t>"D2,D4,D5,D6","LED","~","LED_SMD:LED_1206_3216Metric_Pad1.42x1.75mm_HandSolder","4",""</t>
  </si>
  <si>
    <t>"FB2","FerriteBead","~","Inductor_SMD:L_1206_3216Metric_Pad1.42x1.75mm_HandSolder","1",""</t>
  </si>
  <si>
    <t>"J1","Screw_Terminal_01x02","~","TerminalBlock:TerminalBlock_bornier-2_P5.08mm","1",""</t>
  </si>
  <si>
    <t>"J2","Conn_01x02_Pin","~","Connector_PinHeader_2.54mm:PinHeader_1x02_P2.54mm_Vertical","1",""</t>
  </si>
  <si>
    <t>"J3","GSB1C41110SSHR","","GSB1C41110SSHR:AMPHENOL_GSB1C41110SSHR","1",""</t>
  </si>
  <si>
    <t>"J4","Conn_01x04_Pin","~","Connector_PinSocket_2.54mm:PinSocket_1x04_P2.54mm_Vertical","1",""</t>
  </si>
  <si>
    <t>"J5","Conn_01x08_Pin","~","Connector_PinSocket_2.54mm:PinSocket_1x08_P2.54mm_Vertical","1",""</t>
  </si>
  <si>
    <t>"J6","Conn_01x10_Pin","~","Connector_PinSocket_2.54mm:PinSocket_1x10_P2.54mm_Vertical","1",""</t>
  </si>
  <si>
    <t>"J7","Conn_01x07_Pin","~","Connector_PinSocket_2.54mm:PinSocket_1x07_P2.54mm_Vertical","1",""</t>
  </si>
  <si>
    <t>"MK2","CMA-4544PF-W","","CMA-4544PF-W:MIC_CMA-4544PF-W","1",""</t>
  </si>
  <si>
    <t>"R1,R2,R8,R10,R15","10k","~","Resistor_SMD:R_1206_3216Metric_Pad1.30x1.75mm_HandSolder","5",""</t>
  </si>
  <si>
    <t>"R3","100k","~","Resistor_SMD:R_1206_3216Metric_Pad1.30x1.75mm_HandSolder","1",""</t>
  </si>
  <si>
    <t>"R4","1k","~","Resistor_SMD:R_1206_3216Metric_Pad1.30x1.75mm_HandSolder","1",""</t>
  </si>
  <si>
    <t>"R9,R11","0.5","~","Resistor_SMD:R_1206_3216Metric_Pad1.30x1.75mm_HandSolder","2",""</t>
  </si>
  <si>
    <t>"R12","2.2k","~","Resistor_SMD:R_1206_3216Metric_Pad1.30x1.75mm_HandSolder","1",""</t>
  </si>
  <si>
    <t>"R14,R17","82","~","Resistor_SMD:R_1206_3216Metric_Pad1.30x1.75mm_HandSolder","2",""</t>
  </si>
  <si>
    <t>"R16,R22","5.1k","~","Resistor_SMD:R_1206_3216Metric_Pad1.30x1.75mm_HandSolder","2",""</t>
  </si>
  <si>
    <t>"R18,R19","20","~","Resistor_SMD:R_1206_3216Metric_Pad1.30x1.75mm_HandSolder","2",""</t>
  </si>
  <si>
    <t>"R20,R21","22","~","Resistor_SMD:R_1206_3216Metric_Pad1.30x1.75mm_HandSolder","2",""</t>
  </si>
  <si>
    <t>"S1","8","~","Resistor_SMD:R_1206_3216Metric_Pad1.30x1.75mm_HandSolder","1",""</t>
  </si>
  <si>
    <t>"SW1","SW_Push","~","Button_Switch_THT:SW_PUSH_6mm","1",""</t>
  </si>
  <si>
    <t>"U1","ESP32-S3-WROOM-1-N8R8","","ESP32-S3-WROOM-1-N8R8:XCVR_ESP32S3WROOM1N8R8","1",""</t>
  </si>
  <si>
    <t>"U2","MCP6002-I_SN","","MCP6002_I_SN:SOIC127P600X175-8N","1",""</t>
  </si>
  <si>
    <t>"U3","PAM8406DR","PAM8406DR","PAM8406DR:SO-16_PAM8406_DIO-M","1",""</t>
  </si>
  <si>
    <t>"U4","TPC114S1-VR","TPC114S1-VR","TPC114S1_VR:MSOP-8_TPK","1",""</t>
  </si>
  <si>
    <t>"U5,U6","TPS77833_SO8","http://www.ti.com/lit/ds/symlink/tps777.pdf","Package_SO:SOIC-8_3.9x4.9mm_P1.27mm","2",""</t>
  </si>
  <si>
    <t/>
  </si>
  <si>
    <t>Reference</t>
  </si>
  <si>
    <t>Value</t>
  </si>
  <si>
    <t>Datasheet</t>
  </si>
  <si>
    <t>Footprint</t>
  </si>
  <si>
    <t>Qty</t>
  </si>
  <si>
    <t>DNP</t>
  </si>
  <si>
    <t>C1,C2,C14,C15,C16,C17</t>
  </si>
  <si>
    <t>1uF</t>
  </si>
  <si>
    <t>~</t>
  </si>
  <si>
    <t>Capacitor_SMD:C_1206_3216Metric_Pad1.33x1.80mm_HandSolder</t>
  </si>
  <si>
    <t>C3</t>
  </si>
  <si>
    <t>1.5nF</t>
  </si>
  <si>
    <t>C4,C8,C9,C18</t>
  </si>
  <si>
    <t>0.1uF</t>
  </si>
  <si>
    <t>C5,C6,C7,C10,C11,C12,C13</t>
  </si>
  <si>
    <t>10uF</t>
  </si>
  <si>
    <t>D1,D3</t>
  </si>
  <si>
    <t>SB120</t>
  </si>
  <si>
    <t>http://www.diodes.com/_files/datasheets/ds23022.pdf</t>
  </si>
  <si>
    <t>Diode_THT:D_DO-41_SOD81_P10.16mm_Horizontal</t>
  </si>
  <si>
    <t>D2,D4,D5,D6</t>
  </si>
  <si>
    <t>LED</t>
  </si>
  <si>
    <t>LED_SMD:LED_1206_3216Metric_Pad1.42x1.75mm_HandSolder</t>
  </si>
  <si>
    <t>FB2</t>
  </si>
  <si>
    <t>FerriteBead</t>
  </si>
  <si>
    <t>Inductor_SMD:L_1206_3216Metric_Pad1.42x1.75mm_HandSolder</t>
  </si>
  <si>
    <t>J1</t>
  </si>
  <si>
    <t>Screw_Terminal_01x02</t>
  </si>
  <si>
    <t>TerminalBlock:TerminalBlock_bornier-2_P5.08mm</t>
  </si>
  <si>
    <t>J2</t>
  </si>
  <si>
    <t>Conn_01x02_Pin</t>
  </si>
  <si>
    <t>Connector_PinHeader_2.54mm:PinHeader_1x02_P2.54mm_Vertical</t>
  </si>
  <si>
    <t>J3</t>
  </si>
  <si>
    <t>GSB1C41110SSHR</t>
  </si>
  <si>
    <t>GSB1C41110SSHR:AMPHENOL_GSB1C41110SSHR</t>
  </si>
  <si>
    <t>J4</t>
  </si>
  <si>
    <t>Conn_01x04_Pin</t>
  </si>
  <si>
    <t>Connector_PinSocket_2.54mm:PinSocket_1x04_P2.54mm_Vertical</t>
  </si>
  <si>
    <t>J5</t>
  </si>
  <si>
    <t>Conn_01x08_Pin</t>
  </si>
  <si>
    <t>Connector_PinSocket_2.54mm:PinSocket_1x08_P2.54mm_Vertical</t>
  </si>
  <si>
    <t>J6</t>
  </si>
  <si>
    <t>Conn_01x10_Pin</t>
  </si>
  <si>
    <t>Connector_PinSocket_2.54mm:PinSocket_1x10_P2.54mm_Vertical</t>
  </si>
  <si>
    <t>J7</t>
  </si>
  <si>
    <t>Conn_01x07_Pin</t>
  </si>
  <si>
    <t>Connector_PinSocket_2.54mm:PinSocket_1x07_P2.54mm_Vertical</t>
  </si>
  <si>
    <t>MK2</t>
  </si>
  <si>
    <t>CMA-4544PF-W</t>
  </si>
  <si>
    <t>CMA-4544PF-W:MIC_CMA-4544PF-W</t>
  </si>
  <si>
    <t>R1,R2,R8,R10,R15</t>
  </si>
  <si>
    <t>10k</t>
  </si>
  <si>
    <t>Resistor_SMD:R_1206_3216Metric_Pad1.30x1.75mm_HandSolder</t>
  </si>
  <si>
    <t>R3</t>
  </si>
  <si>
    <t>100k</t>
  </si>
  <si>
    <t>R4</t>
  </si>
  <si>
    <t>1k</t>
  </si>
  <si>
    <t>R9,R11</t>
  </si>
  <si>
    <t>0.5</t>
  </si>
  <si>
    <t>R12</t>
  </si>
  <si>
    <t>2.2k</t>
  </si>
  <si>
    <t>R14,R17</t>
  </si>
  <si>
    <t>82</t>
  </si>
  <si>
    <t>R16,R22</t>
  </si>
  <si>
    <t>5.1k</t>
  </si>
  <si>
    <t>R18,R19</t>
  </si>
  <si>
    <t>20</t>
  </si>
  <si>
    <t>R20,R21</t>
  </si>
  <si>
    <t>22</t>
  </si>
  <si>
    <t>S1</t>
  </si>
  <si>
    <t>8</t>
  </si>
  <si>
    <t>SW1</t>
  </si>
  <si>
    <t>SW_Push</t>
  </si>
  <si>
    <t>Button_Switch_THT:SW_PUSH_6mm</t>
  </si>
  <si>
    <t>U1</t>
  </si>
  <si>
    <t>ESP32-S3-WROOM-1-N8R8:XCVR_ESP32S3WROOM1N8R8</t>
  </si>
  <si>
    <t>U2</t>
  </si>
  <si>
    <t>MCP6002-I_SN</t>
  </si>
  <si>
    <t>MCP6002_I_SN:SOIC127P600X175-8N</t>
  </si>
  <si>
    <t>U3</t>
  </si>
  <si>
    <t>PAM8406DR</t>
  </si>
  <si>
    <t>PAM8406DR:SO-16_PAM8406_DIO-M</t>
  </si>
  <si>
    <t>U4</t>
  </si>
  <si>
    <t>TPC114S1-VR</t>
  </si>
  <si>
    <t>TPC114S1_VR:MSOP-8_TPK</t>
  </si>
  <si>
    <t>U5,U6</t>
  </si>
  <si>
    <t>TPS77833_SO8</t>
  </si>
  <si>
    <t>http://www.ti.com/lit/ds/symlink/tps777.pdf</t>
  </si>
  <si>
    <t>Package_SO:SOIC-8_3.9x4.9mm_P1.27mm</t>
  </si>
  <si>
    <t>Product Number</t>
  </si>
  <si>
    <t>1206B105K250JC</t>
  </si>
  <si>
    <t>Market Price (£)</t>
  </si>
  <si>
    <t xml:space="preserve">TOTAL (£) </t>
  </si>
  <si>
    <t>1206B104K101CC</t>
  </si>
  <si>
    <t>1206B152K102DC</t>
  </si>
  <si>
    <t>1206B106K250PB</t>
  </si>
  <si>
    <t>SMD14HT-TP</t>
  </si>
  <si>
    <t>HI1206T500R-10</t>
  </si>
  <si>
    <t>ESP32-S3-WROOM-1-N8</t>
  </si>
  <si>
    <t>277-1247-ND</t>
  </si>
  <si>
    <t>DigiKey Part Number</t>
  </si>
  <si>
    <t>DigiKey Unit Price (£)</t>
  </si>
  <si>
    <t>DigiKey Total Price (£)</t>
  </si>
  <si>
    <t>490-1046-1-ND</t>
  </si>
  <si>
    <t>490-1025-1-ND</t>
  </si>
  <si>
    <t>490-1533-1-ND</t>
  </si>
  <si>
    <t>490-1065-1-ND</t>
  </si>
  <si>
    <t>SB120-E3/54</t>
  </si>
  <si>
    <t>112-SB120-E3/54CT-ND</t>
  </si>
  <si>
    <t>732-4982-1-ND</t>
  </si>
  <si>
    <t>732-1563-1-ND</t>
  </si>
  <si>
    <t>S1011EC-02-ND</t>
  </si>
  <si>
    <t>GSB1C41110SSHR-ND</t>
  </si>
  <si>
    <t>S1011EC-04-ND</t>
  </si>
  <si>
    <t>S1011EC-08-ND</t>
  </si>
  <si>
    <t>S1011EC-10-ND</t>
  </si>
  <si>
    <t>S1011EC-07-ND</t>
  </si>
  <si>
    <t>102-AOM-4544P-2-R-ND</t>
  </si>
  <si>
    <t>311-10KARCT-ND</t>
  </si>
  <si>
    <t>311-100KARCT-ND</t>
  </si>
  <si>
    <t>311-1.0KARCT-ND</t>
  </si>
  <si>
    <t>311-0.50ERCT-ND</t>
  </si>
  <si>
    <t>311-2.2KARCT-ND</t>
  </si>
  <si>
    <t>311-82ARCT-ND</t>
  </si>
  <si>
    <t>311-5.1KARCT-ND</t>
  </si>
  <si>
    <t>311-20ARCT-ND</t>
  </si>
  <si>
    <t>311-22ARCT-ND</t>
  </si>
  <si>
    <t>311-8.0ARCT-ND</t>
  </si>
  <si>
    <t>EG4356-ND</t>
  </si>
  <si>
    <t>3210-ESP32-S3-WROOM-1-N8CT-ND</t>
  </si>
  <si>
    <t>MCP6002-I/SN-ND</t>
  </si>
  <si>
    <t>PAM8406DR-ND</t>
  </si>
  <si>
    <t>MCP6002T-I/MSCT-ND</t>
  </si>
  <si>
    <t>296-13583-1-ND</t>
  </si>
  <si>
    <t>Total Market Price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</si>
</sst>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C5250C1-DA02-47B9-B9C6-86DB0668AA23}" autoFormatId="16" applyNumberFormats="0" applyBorderFormats="0" applyFontFormats="0" applyPatternFormats="0" applyAlignmentFormats="0" applyWidthHeightFormats="0">
  <queryTableRefresh nextId="12">
    <queryTableFields count="11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Product Number" tableColumnId="5"/>
      <queryTableField id="6" name="Qty" tableColumnId="6"/>
      <queryTableField id="7" name="DNP" tableColumnId="7"/>
      <queryTableField id="8" name="Market Price (£)" tableColumnId="8"/>
      <queryTableField id="9" name="DigiKey Part Number" tableColumnId="9"/>
      <queryTableField id="10" name="DigiKey Unit Price (£)" tableColumnId="10"/>
      <queryTableField id="11" name="DigiKey Total Price (£)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C98C5F-2AA2-4E7B-AD7F-C600820638F8}" autoFormatId="16" applyNumberFormats="0" applyBorderFormats="0" applyFontFormats="0" applyPatternFormats="0" applyAlignmentFormats="0" applyWidthHeightFormats="0">
  <queryTableRefresh nextId="9" unboundColumnsRight="4">
    <queryTableFields count="8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  <queryTableDeletedFields count="2">
      <deletedField name="Qty"/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4D4E08-0617-45B4-A352-620A03BF011A}" name="BOM_DigiKey_Active_Stock" displayName="BOM_DigiKey_Active_Stock" ref="A1:K34" tableType="queryTable" totalsRowCount="1">
  <autoFilter ref="A1:K33" xr:uid="{084D4E08-0617-45B4-A352-620A03BF011A}"/>
  <tableColumns count="11">
    <tableColumn id="1" xr3:uid="{9CE42CBE-3C6F-4BD4-9253-41A000FAB86F}" uniqueName="1" name="Reference" queryTableFieldId="1" dataDxfId="13" totalsRowDxfId="6"/>
    <tableColumn id="2" xr3:uid="{06C2A50E-A305-41D7-A76F-1861882F21EE}" uniqueName="2" name="Value" queryTableFieldId="2" dataDxfId="12" totalsRowDxfId="5"/>
    <tableColumn id="3" xr3:uid="{5CA3E695-931E-4D45-9418-D09DD2DE9EA0}" uniqueName="3" name="Datasheet" queryTableFieldId="3" dataDxfId="11" totalsRowDxfId="4"/>
    <tableColumn id="4" xr3:uid="{B42C9A38-0365-4091-8BE0-C0C89AAE29A8}" uniqueName="4" name="Footprint" queryTableFieldId="4" dataDxfId="10" totalsRowDxfId="3"/>
    <tableColumn id="5" xr3:uid="{471AC296-277E-4D51-B6E7-E15657119133}" uniqueName="5" name="Product Number" queryTableFieldId="5" dataDxfId="9" totalsRowDxfId="2"/>
    <tableColumn id="6" xr3:uid="{A5987332-494B-4E70-8D21-D09570E79CE8}" uniqueName="6" name="Qty" queryTableFieldId="6"/>
    <tableColumn id="7" xr3:uid="{BEBEAA49-CE96-4E93-B1E5-5794E96A32DB}" uniqueName="7" name="DNP" queryTableFieldId="7" dataDxfId="8" totalsRowDxfId="1"/>
    <tableColumn id="8" xr3:uid="{F1B968FE-2B48-491C-B1E7-5FAD11508845}" uniqueName="8" name="Market Price (£)" queryTableFieldId="8"/>
    <tableColumn id="9" xr3:uid="{29262128-C3C8-4F16-BDCA-F5B37F37BBB4}" uniqueName="9" name="DigiKey Part Number" queryTableFieldId="9" dataDxfId="7" totalsRowDxfId="0"/>
    <tableColumn id="10" xr3:uid="{74CE663D-FA75-4587-AD56-7CF4381ECFE2}" uniqueName="10" name="DigiKey Unit Price (£)" queryTableFieldId="10"/>
    <tableColumn id="11" xr3:uid="{A7FF3B6C-09E9-482A-BC6B-9B1769A54E57}" uniqueName="11" name="DigiKey Total Price (£)" totalsRowFunction="custom" queryTableFieldId="11">
      <totalsRowFormula>SUM(K2:K32)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D102C-7F2B-46B6-943C-E25A378AF236}" name="BOM" displayName="BOM" ref="A1:H34" tableType="queryTable" totalsRowCount="1">
  <autoFilter ref="A1:H33" xr:uid="{780D102C-7F2B-46B6-943C-E25A378AF236}"/>
  <tableColumns count="8">
    <tableColumn id="1" xr3:uid="{C70DCB6A-1555-46F6-83A6-D5D14E143577}" uniqueName="1" name="Reference" queryTableFieldId="1" dataDxfId="27" totalsRowDxfId="20"/>
    <tableColumn id="2" xr3:uid="{CE09EEE4-B5FF-4499-A080-441B7E93EDC9}" uniqueName="2" name="Value" queryTableFieldId="2" dataDxfId="26" totalsRowDxfId="19"/>
    <tableColumn id="3" xr3:uid="{E7B5B741-6C1E-494B-BA3C-E780B1763A98}" uniqueName="3" name="Datasheet" queryTableFieldId="3" dataDxfId="25" totalsRowDxfId="18"/>
    <tableColumn id="4" xr3:uid="{987E3323-69C1-4DD8-A6C7-A61B239FD068}" uniqueName="4" name="Footprint" queryTableFieldId="4" dataDxfId="24" totalsRowDxfId="17"/>
    <tableColumn id="5" xr3:uid="{30B51A9F-1EC9-4B5D-A37C-7345DA0E96B5}" uniqueName="5" name="Product Number" queryTableFieldId="5"/>
    <tableColumn id="6" xr3:uid="{F4E1179E-848A-46F9-8EF9-E27F3B87AB3B}" uniqueName="6" name="Qty" queryTableFieldId="6" dataDxfId="23" totalsRowDxfId="16"/>
    <tableColumn id="7" xr3:uid="{81DE759C-9F16-4490-ADC8-D5733EE4DA5C}" uniqueName="7" name="DNP" queryTableFieldId="7" dataDxfId="22" totalsRowDxfId="15"/>
    <tableColumn id="8" xr3:uid="{A3F5230A-6D58-47A1-BAC7-09C25FF58DD6}" uniqueName="8" name="Market Price (£)" totalsRowFunction="custom" queryTableFieldId="8" dataDxfId="21" totalsRowDxfId="14">
      <calculatedColumnFormula>F2*0.09642</calculatedColumnFormula>
      <totalsRowFormula>SUM(H2:H32)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diodes.com/_files/datasheets/ds230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728A-EE4E-4544-95C7-990A52E3D48E}">
  <dimension ref="A1:K34"/>
  <sheetViews>
    <sheetView tabSelected="1" workbookViewId="0">
      <selection activeCell="K34" sqref="K34"/>
    </sheetView>
  </sheetViews>
  <sheetFormatPr defaultRowHeight="15.5" x14ac:dyDescent="0.35"/>
  <cols>
    <col min="1" max="1" width="22.58203125" bestFit="1" customWidth="1"/>
    <col min="2" max="2" width="20.6640625" bestFit="1" customWidth="1"/>
    <col min="3" max="3" width="46.9140625" bestFit="1" customWidth="1"/>
    <col min="4" max="4" width="57.4140625" bestFit="1" customWidth="1"/>
    <col min="5" max="5" width="16.83203125" bestFit="1" customWidth="1"/>
    <col min="6" max="6" width="5.75" bestFit="1" customWidth="1"/>
    <col min="7" max="7" width="6.5" bestFit="1" customWidth="1"/>
    <col min="8" max="8" width="16.25" bestFit="1" customWidth="1"/>
    <col min="9" max="9" width="30.75" bestFit="1" customWidth="1"/>
    <col min="10" max="10" width="20.33203125" bestFit="1" customWidth="1"/>
    <col min="11" max="11" width="21" bestFit="1" customWidth="1"/>
  </cols>
  <sheetData>
    <row r="1" spans="1:11" x14ac:dyDescent="0.35">
      <c r="A1" t="s">
        <v>33</v>
      </c>
      <c r="B1" t="s">
        <v>34</v>
      </c>
      <c r="C1" t="s">
        <v>35</v>
      </c>
      <c r="D1" t="s">
        <v>36</v>
      </c>
      <c r="E1" t="s">
        <v>122</v>
      </c>
      <c r="F1" t="s">
        <v>37</v>
      </c>
      <c r="G1" t="s">
        <v>38</v>
      </c>
      <c r="H1" t="s">
        <v>124</v>
      </c>
      <c r="I1" t="s">
        <v>133</v>
      </c>
      <c r="J1" t="s">
        <v>134</v>
      </c>
      <c r="K1" t="s">
        <v>135</v>
      </c>
    </row>
    <row r="2" spans="1:11" x14ac:dyDescent="0.35">
      <c r="A2" s="1" t="s">
        <v>39</v>
      </c>
      <c r="B2" s="1" t="s">
        <v>40</v>
      </c>
      <c r="C2" s="1" t="s">
        <v>41</v>
      </c>
      <c r="D2" s="1" t="s">
        <v>42</v>
      </c>
      <c r="E2" s="1" t="s">
        <v>123</v>
      </c>
      <c r="F2">
        <v>6</v>
      </c>
      <c r="G2" s="1" t="s">
        <v>32</v>
      </c>
      <c r="H2">
        <v>0.57852000000000003</v>
      </c>
      <c r="I2" s="1" t="s">
        <v>136</v>
      </c>
      <c r="J2">
        <v>0.08</v>
      </c>
      <c r="K2">
        <v>0.48</v>
      </c>
    </row>
    <row r="3" spans="1:11" x14ac:dyDescent="0.35">
      <c r="A3" s="1" t="s">
        <v>43</v>
      </c>
      <c r="B3" s="1" t="s">
        <v>44</v>
      </c>
      <c r="C3" s="1" t="s">
        <v>41</v>
      </c>
      <c r="D3" s="1" t="s">
        <v>42</v>
      </c>
      <c r="E3" s="1" t="s">
        <v>127</v>
      </c>
      <c r="F3">
        <v>1</v>
      </c>
      <c r="G3" s="1" t="s">
        <v>32</v>
      </c>
      <c r="H3">
        <v>0.10765</v>
      </c>
      <c r="I3" s="1" t="s">
        <v>137</v>
      </c>
      <c r="J3">
        <v>0.1</v>
      </c>
      <c r="K3">
        <v>0.1</v>
      </c>
    </row>
    <row r="4" spans="1:11" x14ac:dyDescent="0.35">
      <c r="A4" s="1" t="s">
        <v>45</v>
      </c>
      <c r="B4" s="1" t="s">
        <v>46</v>
      </c>
      <c r="C4" s="1" t="s">
        <v>41</v>
      </c>
      <c r="D4" s="1" t="s">
        <v>42</v>
      </c>
      <c r="E4" s="1" t="s">
        <v>126</v>
      </c>
      <c r="F4">
        <v>4</v>
      </c>
      <c r="G4" s="1" t="s">
        <v>32</v>
      </c>
      <c r="H4">
        <v>0.23296</v>
      </c>
      <c r="I4" s="1" t="s">
        <v>138</v>
      </c>
      <c r="J4">
        <v>0.05</v>
      </c>
      <c r="K4">
        <v>0.2</v>
      </c>
    </row>
    <row r="5" spans="1:11" x14ac:dyDescent="0.35">
      <c r="A5" s="1" t="s">
        <v>47</v>
      </c>
      <c r="B5" s="1" t="s">
        <v>48</v>
      </c>
      <c r="C5" s="1" t="s">
        <v>41</v>
      </c>
      <c r="D5" s="1" t="s">
        <v>42</v>
      </c>
      <c r="E5" s="1" t="s">
        <v>128</v>
      </c>
      <c r="F5">
        <v>7</v>
      </c>
      <c r="G5" s="1" t="s">
        <v>32</v>
      </c>
      <c r="H5">
        <v>1.9849899999999998</v>
      </c>
      <c r="I5" s="1" t="s">
        <v>139</v>
      </c>
      <c r="J5">
        <v>0.15</v>
      </c>
      <c r="K5">
        <v>1.05</v>
      </c>
    </row>
    <row r="6" spans="1:11" x14ac:dyDescent="0.35">
      <c r="A6" s="1" t="s">
        <v>49</v>
      </c>
      <c r="B6" s="1" t="s">
        <v>140</v>
      </c>
      <c r="C6" s="1" t="s">
        <v>51</v>
      </c>
      <c r="D6" s="1" t="s">
        <v>52</v>
      </c>
      <c r="E6" s="1" t="s">
        <v>129</v>
      </c>
      <c r="F6">
        <v>2</v>
      </c>
      <c r="G6" s="1" t="s">
        <v>32</v>
      </c>
      <c r="H6">
        <v>0.18</v>
      </c>
      <c r="I6" s="1" t="s">
        <v>141</v>
      </c>
      <c r="J6">
        <v>0.22</v>
      </c>
      <c r="K6">
        <v>0.44</v>
      </c>
    </row>
    <row r="7" spans="1:11" x14ac:dyDescent="0.35">
      <c r="A7" s="1" t="s">
        <v>53</v>
      </c>
      <c r="B7" s="1" t="s">
        <v>54</v>
      </c>
      <c r="C7" s="1" t="s">
        <v>41</v>
      </c>
      <c r="D7" s="1" t="s">
        <v>55</v>
      </c>
      <c r="E7" s="1" t="s">
        <v>32</v>
      </c>
      <c r="F7">
        <v>4</v>
      </c>
      <c r="G7" s="1" t="s">
        <v>32</v>
      </c>
      <c r="H7">
        <v>4.1160000000000002E-2</v>
      </c>
      <c r="I7" s="1" t="s">
        <v>142</v>
      </c>
      <c r="J7">
        <v>0.12</v>
      </c>
      <c r="K7">
        <v>0.48</v>
      </c>
    </row>
    <row r="8" spans="1:11" x14ac:dyDescent="0.35">
      <c r="A8" s="1" t="s">
        <v>56</v>
      </c>
      <c r="B8" s="1" t="s">
        <v>57</v>
      </c>
      <c r="C8" s="1" t="s">
        <v>41</v>
      </c>
      <c r="D8" s="1" t="s">
        <v>58</v>
      </c>
      <c r="E8" s="1" t="s">
        <v>130</v>
      </c>
      <c r="F8">
        <v>1</v>
      </c>
      <c r="G8" s="1" t="s">
        <v>32</v>
      </c>
      <c r="H8">
        <v>0.08</v>
      </c>
      <c r="I8" s="1" t="s">
        <v>143</v>
      </c>
      <c r="J8">
        <v>0.1</v>
      </c>
      <c r="K8">
        <v>0.1</v>
      </c>
    </row>
    <row r="9" spans="1:11" x14ac:dyDescent="0.35">
      <c r="A9" s="1" t="s">
        <v>59</v>
      </c>
      <c r="B9" s="1" t="s">
        <v>60</v>
      </c>
      <c r="C9" s="1" t="s">
        <v>41</v>
      </c>
      <c r="D9" s="1" t="s">
        <v>61</v>
      </c>
      <c r="E9" s="1" t="s">
        <v>32</v>
      </c>
      <c r="F9">
        <v>1</v>
      </c>
      <c r="G9" s="1" t="s">
        <v>32</v>
      </c>
      <c r="H9">
        <v>0.19</v>
      </c>
      <c r="I9" s="1" t="s">
        <v>132</v>
      </c>
      <c r="J9">
        <v>0.45</v>
      </c>
      <c r="K9">
        <v>0.45</v>
      </c>
    </row>
    <row r="10" spans="1:11" x14ac:dyDescent="0.35">
      <c r="A10" s="1" t="s">
        <v>62</v>
      </c>
      <c r="B10" s="1" t="s">
        <v>63</v>
      </c>
      <c r="C10" s="1" t="s">
        <v>41</v>
      </c>
      <c r="D10" s="1" t="s">
        <v>64</v>
      </c>
      <c r="E10" s="1" t="s">
        <v>32</v>
      </c>
      <c r="F10">
        <v>1</v>
      </c>
      <c r="G10" s="1" t="s">
        <v>32</v>
      </c>
      <c r="H10">
        <v>0.19</v>
      </c>
      <c r="I10" s="1" t="s">
        <v>144</v>
      </c>
      <c r="J10">
        <v>0.2</v>
      </c>
      <c r="K10">
        <v>0.2</v>
      </c>
    </row>
    <row r="11" spans="1:11" x14ac:dyDescent="0.35">
      <c r="A11" s="1" t="s">
        <v>65</v>
      </c>
      <c r="B11" s="1" t="s">
        <v>66</v>
      </c>
      <c r="C11" s="1" t="s">
        <v>32</v>
      </c>
      <c r="D11" s="1" t="s">
        <v>67</v>
      </c>
      <c r="E11" s="1" t="s">
        <v>32</v>
      </c>
      <c r="F11">
        <v>1</v>
      </c>
      <c r="G11" s="1" t="s">
        <v>32</v>
      </c>
      <c r="H11">
        <v>9.6420000000000006E-2</v>
      </c>
      <c r="I11" s="1" t="s">
        <v>145</v>
      </c>
      <c r="J11">
        <v>0.55000000000000004</v>
      </c>
      <c r="K11">
        <v>0.55000000000000004</v>
      </c>
    </row>
    <row r="12" spans="1:11" x14ac:dyDescent="0.35">
      <c r="A12" s="1" t="s">
        <v>68</v>
      </c>
      <c r="B12" s="1" t="s">
        <v>69</v>
      </c>
      <c r="C12" s="1" t="s">
        <v>41</v>
      </c>
      <c r="D12" s="1" t="s">
        <v>70</v>
      </c>
      <c r="E12" s="1" t="s">
        <v>32</v>
      </c>
      <c r="F12">
        <v>1</v>
      </c>
      <c r="G12" s="1" t="s">
        <v>32</v>
      </c>
      <c r="H12">
        <v>9.6420000000000006E-2</v>
      </c>
      <c r="I12" s="1" t="s">
        <v>146</v>
      </c>
      <c r="J12">
        <v>0.25</v>
      </c>
      <c r="K12">
        <v>0.25</v>
      </c>
    </row>
    <row r="13" spans="1:11" x14ac:dyDescent="0.35">
      <c r="A13" s="1" t="s">
        <v>71</v>
      </c>
      <c r="B13" s="1" t="s">
        <v>72</v>
      </c>
      <c r="C13" s="1" t="s">
        <v>41</v>
      </c>
      <c r="D13" s="1" t="s">
        <v>73</v>
      </c>
      <c r="E13" s="1" t="s">
        <v>32</v>
      </c>
      <c r="F13">
        <v>1</v>
      </c>
      <c r="G13" s="1" t="s">
        <v>32</v>
      </c>
      <c r="H13">
        <v>9.6420000000000006E-2</v>
      </c>
      <c r="I13" s="1" t="s">
        <v>147</v>
      </c>
      <c r="J13">
        <v>0.35</v>
      </c>
      <c r="K13">
        <v>0.35</v>
      </c>
    </row>
    <row r="14" spans="1:11" x14ac:dyDescent="0.35">
      <c r="A14" s="1" t="s">
        <v>74</v>
      </c>
      <c r="B14" s="1" t="s">
        <v>75</v>
      </c>
      <c r="C14" s="1" t="s">
        <v>41</v>
      </c>
      <c r="D14" s="1" t="s">
        <v>76</v>
      </c>
      <c r="E14" s="1" t="s">
        <v>32</v>
      </c>
      <c r="F14">
        <v>1</v>
      </c>
      <c r="G14" s="1" t="s">
        <v>32</v>
      </c>
      <c r="H14">
        <v>9.6420000000000006E-2</v>
      </c>
      <c r="I14" s="1" t="s">
        <v>148</v>
      </c>
      <c r="J14">
        <v>0.4</v>
      </c>
      <c r="K14">
        <v>0.4</v>
      </c>
    </row>
    <row r="15" spans="1:11" x14ac:dyDescent="0.35">
      <c r="A15" s="1" t="s">
        <v>77</v>
      </c>
      <c r="B15" s="1" t="s">
        <v>78</v>
      </c>
      <c r="C15" s="1" t="s">
        <v>41</v>
      </c>
      <c r="D15" s="1" t="s">
        <v>79</v>
      </c>
      <c r="E15" s="1" t="s">
        <v>32</v>
      </c>
      <c r="F15">
        <v>1</v>
      </c>
      <c r="G15" s="1" t="s">
        <v>32</v>
      </c>
      <c r="H15">
        <v>9.6420000000000006E-2</v>
      </c>
      <c r="I15" s="1" t="s">
        <v>149</v>
      </c>
      <c r="J15">
        <v>0.32</v>
      </c>
      <c r="K15">
        <v>0.32</v>
      </c>
    </row>
    <row r="16" spans="1:11" x14ac:dyDescent="0.35">
      <c r="A16" s="1" t="s">
        <v>80</v>
      </c>
      <c r="B16" s="1" t="s">
        <v>81</v>
      </c>
      <c r="C16" s="1" t="s">
        <v>32</v>
      </c>
      <c r="D16" s="1" t="s">
        <v>82</v>
      </c>
      <c r="E16" s="1" t="s">
        <v>32</v>
      </c>
      <c r="F16">
        <v>1</v>
      </c>
      <c r="G16" s="1" t="s">
        <v>32</v>
      </c>
      <c r="H16">
        <v>9.6420000000000006E-2</v>
      </c>
      <c r="I16" s="1" t="s">
        <v>150</v>
      </c>
      <c r="J16">
        <v>0.85</v>
      </c>
      <c r="K16">
        <v>0.85</v>
      </c>
    </row>
    <row r="17" spans="1:11" x14ac:dyDescent="0.35">
      <c r="A17" s="1" t="s">
        <v>83</v>
      </c>
      <c r="B17" s="1" t="s">
        <v>84</v>
      </c>
      <c r="C17" s="1" t="s">
        <v>41</v>
      </c>
      <c r="D17" s="1" t="s">
        <v>85</v>
      </c>
      <c r="E17" s="1" t="s">
        <v>32</v>
      </c>
      <c r="F17">
        <v>5</v>
      </c>
      <c r="G17" s="1" t="s">
        <v>32</v>
      </c>
      <c r="H17">
        <v>0.48210000000000003</v>
      </c>
      <c r="I17" s="1" t="s">
        <v>151</v>
      </c>
      <c r="J17">
        <v>0.02</v>
      </c>
      <c r="K17">
        <v>0.1</v>
      </c>
    </row>
    <row r="18" spans="1:11" x14ac:dyDescent="0.35">
      <c r="A18" s="1" t="s">
        <v>86</v>
      </c>
      <c r="B18" s="1" t="s">
        <v>87</v>
      </c>
      <c r="C18" s="1" t="s">
        <v>41</v>
      </c>
      <c r="D18" s="1" t="s">
        <v>85</v>
      </c>
      <c r="E18" s="1" t="s">
        <v>32</v>
      </c>
      <c r="F18">
        <v>1</v>
      </c>
      <c r="G18" s="1" t="s">
        <v>32</v>
      </c>
      <c r="H18">
        <v>9.6420000000000006E-2</v>
      </c>
      <c r="I18" s="1" t="s">
        <v>152</v>
      </c>
      <c r="J18">
        <v>0.02</v>
      </c>
      <c r="K18">
        <v>0.02</v>
      </c>
    </row>
    <row r="19" spans="1:11" x14ac:dyDescent="0.35">
      <c r="A19" s="1" t="s">
        <v>88</v>
      </c>
      <c r="B19" s="1" t="s">
        <v>89</v>
      </c>
      <c r="C19" s="1" t="s">
        <v>41</v>
      </c>
      <c r="D19" s="1" t="s">
        <v>85</v>
      </c>
      <c r="E19" s="1" t="s">
        <v>32</v>
      </c>
      <c r="F19">
        <v>1</v>
      </c>
      <c r="G19" s="1" t="s">
        <v>32</v>
      </c>
      <c r="H19">
        <v>9.6420000000000006E-2</v>
      </c>
      <c r="I19" s="1" t="s">
        <v>153</v>
      </c>
      <c r="J19">
        <v>0.02</v>
      </c>
      <c r="K19">
        <v>0.02</v>
      </c>
    </row>
    <row r="20" spans="1:11" x14ac:dyDescent="0.35">
      <c r="A20" s="1" t="s">
        <v>90</v>
      </c>
      <c r="B20" s="1" t="s">
        <v>91</v>
      </c>
      <c r="C20" s="1" t="s">
        <v>41</v>
      </c>
      <c r="D20" s="1" t="s">
        <v>85</v>
      </c>
      <c r="E20" s="1" t="s">
        <v>32</v>
      </c>
      <c r="F20">
        <v>2</v>
      </c>
      <c r="G20" s="1" t="s">
        <v>32</v>
      </c>
      <c r="H20">
        <v>0.19284000000000001</v>
      </c>
      <c r="I20" s="1" t="s">
        <v>154</v>
      </c>
      <c r="J20">
        <v>0.03</v>
      </c>
      <c r="K20">
        <v>0.06</v>
      </c>
    </row>
    <row r="21" spans="1:11" x14ac:dyDescent="0.35">
      <c r="A21" s="1" t="s">
        <v>92</v>
      </c>
      <c r="B21" s="1" t="s">
        <v>93</v>
      </c>
      <c r="C21" s="1" t="s">
        <v>41</v>
      </c>
      <c r="D21" s="1" t="s">
        <v>85</v>
      </c>
      <c r="E21" s="1" t="s">
        <v>32</v>
      </c>
      <c r="F21">
        <v>1</v>
      </c>
      <c r="G21" s="1" t="s">
        <v>32</v>
      </c>
      <c r="H21">
        <v>9.6420000000000006E-2</v>
      </c>
      <c r="I21" s="1" t="s">
        <v>155</v>
      </c>
      <c r="J21">
        <v>0.02</v>
      </c>
      <c r="K21">
        <v>0.02</v>
      </c>
    </row>
    <row r="22" spans="1:11" x14ac:dyDescent="0.35">
      <c r="A22" s="1" t="s">
        <v>94</v>
      </c>
      <c r="B22" s="1" t="s">
        <v>95</v>
      </c>
      <c r="C22" s="1" t="s">
        <v>41</v>
      </c>
      <c r="D22" s="1" t="s">
        <v>85</v>
      </c>
      <c r="E22" s="1" t="s">
        <v>32</v>
      </c>
      <c r="F22">
        <v>2</v>
      </c>
      <c r="G22" s="1" t="s">
        <v>32</v>
      </c>
      <c r="H22">
        <v>0.19284000000000001</v>
      </c>
      <c r="I22" s="1" t="s">
        <v>156</v>
      </c>
      <c r="J22">
        <v>0.02</v>
      </c>
      <c r="K22">
        <v>0.04</v>
      </c>
    </row>
    <row r="23" spans="1:11" x14ac:dyDescent="0.35">
      <c r="A23" s="1" t="s">
        <v>96</v>
      </c>
      <c r="B23" s="1" t="s">
        <v>97</v>
      </c>
      <c r="C23" s="1" t="s">
        <v>41</v>
      </c>
      <c r="D23" s="1" t="s">
        <v>85</v>
      </c>
      <c r="E23" s="1" t="s">
        <v>32</v>
      </c>
      <c r="F23">
        <v>2</v>
      </c>
      <c r="G23" s="1" t="s">
        <v>32</v>
      </c>
      <c r="H23">
        <v>0.19284000000000001</v>
      </c>
      <c r="I23" s="1" t="s">
        <v>157</v>
      </c>
      <c r="J23">
        <v>0.02</v>
      </c>
      <c r="K23">
        <v>0.04</v>
      </c>
    </row>
    <row r="24" spans="1:11" x14ac:dyDescent="0.35">
      <c r="A24" s="1" t="s">
        <v>98</v>
      </c>
      <c r="B24" s="1" t="s">
        <v>99</v>
      </c>
      <c r="C24" s="1" t="s">
        <v>41</v>
      </c>
      <c r="D24" s="1" t="s">
        <v>85</v>
      </c>
      <c r="E24" s="1" t="s">
        <v>32</v>
      </c>
      <c r="F24">
        <v>2</v>
      </c>
      <c r="G24" s="1" t="s">
        <v>32</v>
      </c>
      <c r="H24">
        <v>0.19284000000000001</v>
      </c>
      <c r="I24" s="1" t="s">
        <v>158</v>
      </c>
      <c r="J24">
        <v>0.02</v>
      </c>
      <c r="K24">
        <v>0.04</v>
      </c>
    </row>
    <row r="25" spans="1:11" x14ac:dyDescent="0.35">
      <c r="A25" s="1" t="s">
        <v>100</v>
      </c>
      <c r="B25" s="1" t="s">
        <v>101</v>
      </c>
      <c r="C25" s="1" t="s">
        <v>41</v>
      </c>
      <c r="D25" s="1" t="s">
        <v>85</v>
      </c>
      <c r="E25" s="1" t="s">
        <v>32</v>
      </c>
      <c r="F25">
        <v>2</v>
      </c>
      <c r="G25" s="1" t="s">
        <v>32</v>
      </c>
      <c r="H25">
        <v>0.19284000000000001</v>
      </c>
      <c r="I25" s="1" t="s">
        <v>159</v>
      </c>
      <c r="J25">
        <v>0.02</v>
      </c>
      <c r="K25">
        <v>0.04</v>
      </c>
    </row>
    <row r="26" spans="1:11" x14ac:dyDescent="0.35">
      <c r="A26" s="1" t="s">
        <v>102</v>
      </c>
      <c r="B26" s="1" t="s">
        <v>103</v>
      </c>
      <c r="C26" s="1" t="s">
        <v>41</v>
      </c>
      <c r="D26" s="1" t="s">
        <v>85</v>
      </c>
      <c r="E26" s="1" t="s">
        <v>32</v>
      </c>
      <c r="F26">
        <v>1</v>
      </c>
      <c r="G26" s="1" t="s">
        <v>32</v>
      </c>
      <c r="H26">
        <v>9.6420000000000006E-2</v>
      </c>
      <c r="I26" s="1" t="s">
        <v>160</v>
      </c>
      <c r="J26">
        <v>0.02</v>
      </c>
      <c r="K26">
        <v>0.02</v>
      </c>
    </row>
    <row r="27" spans="1:11" x14ac:dyDescent="0.35">
      <c r="A27" s="1" t="s">
        <v>104</v>
      </c>
      <c r="B27" s="1" t="s">
        <v>105</v>
      </c>
      <c r="C27" s="1" t="s">
        <v>41</v>
      </c>
      <c r="D27" s="1" t="s">
        <v>106</v>
      </c>
      <c r="E27" s="1" t="s">
        <v>32</v>
      </c>
      <c r="F27">
        <v>1</v>
      </c>
      <c r="G27" s="1" t="s">
        <v>32</v>
      </c>
      <c r="H27">
        <v>9.6420000000000006E-2</v>
      </c>
      <c r="I27" s="1" t="s">
        <v>161</v>
      </c>
      <c r="J27">
        <v>0.18</v>
      </c>
      <c r="K27">
        <v>0.18</v>
      </c>
    </row>
    <row r="28" spans="1:11" x14ac:dyDescent="0.35">
      <c r="A28" s="1" t="s">
        <v>107</v>
      </c>
      <c r="B28" s="1" t="s">
        <v>131</v>
      </c>
      <c r="C28" s="1" t="s">
        <v>32</v>
      </c>
      <c r="D28" s="1" t="s">
        <v>108</v>
      </c>
      <c r="E28" s="1" t="s">
        <v>32</v>
      </c>
      <c r="F28">
        <v>1</v>
      </c>
      <c r="G28" s="1" t="s">
        <v>32</v>
      </c>
      <c r="H28">
        <v>9.6420000000000006E-2</v>
      </c>
      <c r="I28" s="1" t="s">
        <v>162</v>
      </c>
      <c r="J28">
        <v>2.8</v>
      </c>
      <c r="K28">
        <v>2.8</v>
      </c>
    </row>
    <row r="29" spans="1:11" x14ac:dyDescent="0.35">
      <c r="A29" s="1" t="s">
        <v>109</v>
      </c>
      <c r="B29" s="1" t="s">
        <v>110</v>
      </c>
      <c r="C29" s="1" t="s">
        <v>32</v>
      </c>
      <c r="D29" s="1" t="s">
        <v>111</v>
      </c>
      <c r="E29" s="1" t="s">
        <v>32</v>
      </c>
      <c r="F29">
        <v>1</v>
      </c>
      <c r="G29" s="1" t="s">
        <v>32</v>
      </c>
      <c r="H29">
        <v>9.6420000000000006E-2</v>
      </c>
      <c r="I29" s="1" t="s">
        <v>163</v>
      </c>
      <c r="J29">
        <v>0.45</v>
      </c>
      <c r="K29">
        <v>0.45</v>
      </c>
    </row>
    <row r="30" spans="1:11" x14ac:dyDescent="0.35">
      <c r="A30" s="1" t="s">
        <v>112</v>
      </c>
      <c r="B30" s="1" t="s">
        <v>113</v>
      </c>
      <c r="C30" s="1" t="s">
        <v>113</v>
      </c>
      <c r="D30" s="1" t="s">
        <v>114</v>
      </c>
      <c r="E30" s="1" t="s">
        <v>32</v>
      </c>
      <c r="F30">
        <v>1</v>
      </c>
      <c r="G30" s="1" t="s">
        <v>32</v>
      </c>
      <c r="H30">
        <v>9.6420000000000006E-2</v>
      </c>
      <c r="I30" s="1" t="s">
        <v>164</v>
      </c>
      <c r="J30">
        <v>0.6</v>
      </c>
      <c r="K30">
        <v>0.6</v>
      </c>
    </row>
    <row r="31" spans="1:11" x14ac:dyDescent="0.35">
      <c r="A31" s="1" t="s">
        <v>115</v>
      </c>
      <c r="B31" s="1" t="s">
        <v>116</v>
      </c>
      <c r="C31" s="1" t="s">
        <v>116</v>
      </c>
      <c r="D31" s="1" t="s">
        <v>117</v>
      </c>
      <c r="E31" s="1" t="s">
        <v>32</v>
      </c>
      <c r="F31">
        <v>1</v>
      </c>
      <c r="G31" s="1" t="s">
        <v>32</v>
      </c>
      <c r="H31">
        <v>9.6420000000000006E-2</v>
      </c>
      <c r="I31" s="1" t="s">
        <v>165</v>
      </c>
      <c r="J31">
        <v>0.45</v>
      </c>
      <c r="K31">
        <v>0.45</v>
      </c>
    </row>
    <row r="32" spans="1:11" x14ac:dyDescent="0.35">
      <c r="A32" s="1" t="s">
        <v>118</v>
      </c>
      <c r="B32" s="1" t="s">
        <v>119</v>
      </c>
      <c r="C32" s="1" t="s">
        <v>120</v>
      </c>
      <c r="D32" s="1" t="s">
        <v>121</v>
      </c>
      <c r="E32" s="1" t="s">
        <v>32</v>
      </c>
      <c r="F32">
        <v>2</v>
      </c>
      <c r="G32" s="1" t="s">
        <v>32</v>
      </c>
      <c r="H32">
        <v>0.19284000000000001</v>
      </c>
      <c r="I32" s="1" t="s">
        <v>166</v>
      </c>
      <c r="J32">
        <v>1.25</v>
      </c>
      <c r="K32">
        <v>2.5</v>
      </c>
    </row>
    <row r="33" spans="1:11" x14ac:dyDescent="0.35">
      <c r="A33" s="1"/>
      <c r="B33" s="1"/>
      <c r="C33" s="1"/>
      <c r="D33" s="1"/>
      <c r="E33" s="1"/>
      <c r="G33" s="1"/>
      <c r="I33" s="1"/>
      <c r="K33" t="s">
        <v>167</v>
      </c>
    </row>
    <row r="34" spans="1:11" x14ac:dyDescent="0.35">
      <c r="A34" s="1"/>
      <c r="B34" s="1"/>
      <c r="C34" s="1"/>
      <c r="D34" s="1"/>
      <c r="E34" s="1"/>
      <c r="G34" s="1"/>
      <c r="I34" s="1"/>
      <c r="K34">
        <f>SUM(K2:K32)</f>
        <v>13.599999999999996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EB22-9D26-4826-AC7E-E5251C6A3DB7}">
  <dimension ref="A1:H34"/>
  <sheetViews>
    <sheetView topLeftCell="B1" zoomScale="88" workbookViewId="0">
      <selection activeCell="C14" sqref="C14"/>
    </sheetView>
  </sheetViews>
  <sheetFormatPr defaultRowHeight="15.5" x14ac:dyDescent="0.35"/>
  <cols>
    <col min="1" max="1" width="22.58203125" bestFit="1" customWidth="1"/>
    <col min="2" max="2" width="22.83203125" bestFit="1" customWidth="1"/>
    <col min="3" max="3" width="46.9140625" bestFit="1" customWidth="1"/>
    <col min="4" max="4" width="57.4140625" bestFit="1" customWidth="1"/>
    <col min="5" max="5" width="15.33203125" customWidth="1"/>
    <col min="6" max="6" width="12.33203125" customWidth="1"/>
    <col min="7" max="7" width="6.83203125" customWidth="1"/>
    <col min="8" max="8" width="16.25" customWidth="1"/>
  </cols>
  <sheetData>
    <row r="1" spans="1:8" x14ac:dyDescent="0.35">
      <c r="A1" t="s">
        <v>33</v>
      </c>
      <c r="B1" t="s">
        <v>34</v>
      </c>
      <c r="C1" t="s">
        <v>35</v>
      </c>
      <c r="D1" t="s">
        <v>36</v>
      </c>
      <c r="E1" t="s">
        <v>122</v>
      </c>
      <c r="F1" t="s">
        <v>37</v>
      </c>
      <c r="G1" t="s">
        <v>38</v>
      </c>
      <c r="H1" t="s">
        <v>124</v>
      </c>
    </row>
    <row r="2" spans="1:8" x14ac:dyDescent="0.35">
      <c r="A2" s="1" t="s">
        <v>39</v>
      </c>
      <c r="B2" s="1" t="s">
        <v>40</v>
      </c>
      <c r="C2" s="1" t="s">
        <v>41</v>
      </c>
      <c r="D2" s="1" t="s">
        <v>42</v>
      </c>
      <c r="E2" t="s">
        <v>123</v>
      </c>
      <c r="F2">
        <v>6</v>
      </c>
      <c r="G2" s="1"/>
      <c r="H2" s="1">
        <f>F2*0.09642</f>
        <v>0.57852000000000003</v>
      </c>
    </row>
    <row r="3" spans="1:8" x14ac:dyDescent="0.35">
      <c r="A3" s="1" t="s">
        <v>43</v>
      </c>
      <c r="B3" s="1" t="s">
        <v>44</v>
      </c>
      <c r="C3" s="1" t="s">
        <v>41</v>
      </c>
      <c r="D3" s="1" t="s">
        <v>42</v>
      </c>
      <c r="E3" t="s">
        <v>127</v>
      </c>
      <c r="F3">
        <v>1</v>
      </c>
      <c r="G3" s="1" t="s">
        <v>32</v>
      </c>
      <c r="H3" s="1">
        <f>F3*0.10765</f>
        <v>0.10765</v>
      </c>
    </row>
    <row r="4" spans="1:8" x14ac:dyDescent="0.35">
      <c r="A4" s="1" t="s">
        <v>45</v>
      </c>
      <c r="B4" s="1" t="s">
        <v>46</v>
      </c>
      <c r="C4" s="1" t="s">
        <v>41</v>
      </c>
      <c r="D4" s="1" t="s">
        <v>42</v>
      </c>
      <c r="E4" t="s">
        <v>126</v>
      </c>
      <c r="F4">
        <v>4</v>
      </c>
      <c r="G4" s="1" t="s">
        <v>32</v>
      </c>
      <c r="H4" s="1">
        <f>F4*0.05824</f>
        <v>0.23296</v>
      </c>
    </row>
    <row r="5" spans="1:8" x14ac:dyDescent="0.35">
      <c r="A5" s="1" t="s">
        <v>47</v>
      </c>
      <c r="B5" s="1" t="s">
        <v>48</v>
      </c>
      <c r="C5" s="1" t="s">
        <v>41</v>
      </c>
      <c r="D5" s="1" t="s">
        <v>42</v>
      </c>
      <c r="E5" t="s">
        <v>128</v>
      </c>
      <c r="F5">
        <v>7</v>
      </c>
      <c r="G5" s="1" t="s">
        <v>32</v>
      </c>
      <c r="H5" s="1">
        <f>F5*0.28357</f>
        <v>1.9849899999999998</v>
      </c>
    </row>
    <row r="6" spans="1:8" x14ac:dyDescent="0.35">
      <c r="A6" s="1" t="s">
        <v>49</v>
      </c>
      <c r="B6" s="1" t="s">
        <v>50</v>
      </c>
      <c r="C6" s="2" t="s">
        <v>51</v>
      </c>
      <c r="D6" s="1" t="s">
        <v>52</v>
      </c>
      <c r="E6" t="s">
        <v>129</v>
      </c>
      <c r="F6">
        <v>2</v>
      </c>
      <c r="G6" s="1" t="s">
        <v>32</v>
      </c>
      <c r="H6" s="1">
        <f>F6*0.09</f>
        <v>0.18</v>
      </c>
    </row>
    <row r="7" spans="1:8" x14ac:dyDescent="0.35">
      <c r="A7" s="1" t="s">
        <v>53</v>
      </c>
      <c r="B7" s="1" t="s">
        <v>54</v>
      </c>
      <c r="C7" s="1" t="s">
        <v>41</v>
      </c>
      <c r="D7" s="1" t="s">
        <v>55</v>
      </c>
      <c r="F7">
        <v>4</v>
      </c>
      <c r="G7" s="1" t="s">
        <v>32</v>
      </c>
      <c r="H7" s="1">
        <f>F7*0.01029</f>
        <v>4.1160000000000002E-2</v>
      </c>
    </row>
    <row r="8" spans="1:8" x14ac:dyDescent="0.35">
      <c r="A8" s="1" t="s">
        <v>56</v>
      </c>
      <c r="B8" s="1" t="s">
        <v>57</v>
      </c>
      <c r="C8" s="1" t="s">
        <v>41</v>
      </c>
      <c r="D8" s="1" t="s">
        <v>58</v>
      </c>
      <c r="E8" t="s">
        <v>130</v>
      </c>
      <c r="F8">
        <v>1</v>
      </c>
      <c r="G8" s="1" t="s">
        <v>32</v>
      </c>
      <c r="H8" s="1">
        <f>F8*0.08</f>
        <v>0.08</v>
      </c>
    </row>
    <row r="9" spans="1:8" x14ac:dyDescent="0.35">
      <c r="A9" s="1" t="s">
        <v>59</v>
      </c>
      <c r="B9" s="1" t="s">
        <v>60</v>
      </c>
      <c r="C9" s="1" t="s">
        <v>41</v>
      </c>
      <c r="D9" s="1" t="s">
        <v>61</v>
      </c>
      <c r="E9" t="s">
        <v>132</v>
      </c>
      <c r="F9">
        <v>1</v>
      </c>
      <c r="G9" s="1" t="s">
        <v>32</v>
      </c>
      <c r="H9" s="1">
        <f>F9*0.45</f>
        <v>0.45</v>
      </c>
    </row>
    <row r="10" spans="1:8" x14ac:dyDescent="0.35">
      <c r="A10" s="1" t="s">
        <v>62</v>
      </c>
      <c r="B10" s="1" t="s">
        <v>63</v>
      </c>
      <c r="C10" s="1" t="s">
        <v>41</v>
      </c>
      <c r="D10" s="1" t="s">
        <v>64</v>
      </c>
      <c r="F10">
        <v>1</v>
      </c>
      <c r="G10" s="1" t="s">
        <v>32</v>
      </c>
      <c r="H10" s="1">
        <f>F10*0.19</f>
        <v>0.19</v>
      </c>
    </row>
    <row r="11" spans="1:8" x14ac:dyDescent="0.35">
      <c r="A11" s="1" t="s">
        <v>65</v>
      </c>
      <c r="B11" s="1" t="s">
        <v>66</v>
      </c>
      <c r="C11" s="1" t="s">
        <v>32</v>
      </c>
      <c r="D11" s="1" t="s">
        <v>67</v>
      </c>
      <c r="F11">
        <v>1</v>
      </c>
      <c r="G11" s="1" t="s">
        <v>32</v>
      </c>
      <c r="H11" s="1">
        <f t="shared" ref="H2:H32" si="0">F11*0.09642</f>
        <v>9.6420000000000006E-2</v>
      </c>
    </row>
    <row r="12" spans="1:8" x14ac:dyDescent="0.35">
      <c r="A12" s="1" t="s">
        <v>68</v>
      </c>
      <c r="B12" s="1" t="s">
        <v>69</v>
      </c>
      <c r="C12" s="1" t="s">
        <v>41</v>
      </c>
      <c r="D12" s="1" t="s">
        <v>70</v>
      </c>
      <c r="F12">
        <v>1</v>
      </c>
      <c r="G12" s="1" t="s">
        <v>32</v>
      </c>
      <c r="H12" s="1">
        <f t="shared" si="0"/>
        <v>9.6420000000000006E-2</v>
      </c>
    </row>
    <row r="13" spans="1:8" x14ac:dyDescent="0.35">
      <c r="A13" s="1" t="s">
        <v>71</v>
      </c>
      <c r="B13" s="1" t="s">
        <v>72</v>
      </c>
      <c r="C13" s="1" t="s">
        <v>41</v>
      </c>
      <c r="D13" s="1" t="s">
        <v>73</v>
      </c>
      <c r="F13">
        <v>1</v>
      </c>
      <c r="G13" s="1" t="s">
        <v>32</v>
      </c>
      <c r="H13" s="1">
        <f t="shared" si="0"/>
        <v>9.6420000000000006E-2</v>
      </c>
    </row>
    <row r="14" spans="1:8" x14ac:dyDescent="0.35">
      <c r="A14" s="1" t="s">
        <v>74</v>
      </c>
      <c r="B14" s="1" t="s">
        <v>75</v>
      </c>
      <c r="C14" s="1" t="s">
        <v>41</v>
      </c>
      <c r="D14" s="1" t="s">
        <v>76</v>
      </c>
      <c r="F14">
        <v>1</v>
      </c>
      <c r="G14" s="1" t="s">
        <v>32</v>
      </c>
      <c r="H14" s="1">
        <f t="shared" si="0"/>
        <v>9.6420000000000006E-2</v>
      </c>
    </row>
    <row r="15" spans="1:8" x14ac:dyDescent="0.35">
      <c r="A15" s="1" t="s">
        <v>77</v>
      </c>
      <c r="B15" s="1" t="s">
        <v>78</v>
      </c>
      <c r="C15" s="1" t="s">
        <v>41</v>
      </c>
      <c r="D15" s="1" t="s">
        <v>79</v>
      </c>
      <c r="F15">
        <v>1</v>
      </c>
      <c r="G15" s="1" t="s">
        <v>32</v>
      </c>
      <c r="H15" s="1">
        <f t="shared" si="0"/>
        <v>9.6420000000000006E-2</v>
      </c>
    </row>
    <row r="16" spans="1:8" x14ac:dyDescent="0.35">
      <c r="A16" s="1" t="s">
        <v>80</v>
      </c>
      <c r="B16" s="1" t="s">
        <v>81</v>
      </c>
      <c r="C16" s="1" t="s">
        <v>32</v>
      </c>
      <c r="D16" s="1" t="s">
        <v>82</v>
      </c>
      <c r="F16">
        <v>1</v>
      </c>
      <c r="G16" s="1" t="s">
        <v>32</v>
      </c>
      <c r="H16" s="1">
        <f t="shared" si="0"/>
        <v>9.6420000000000006E-2</v>
      </c>
    </row>
    <row r="17" spans="1:8" x14ac:dyDescent="0.35">
      <c r="A17" s="1" t="s">
        <v>83</v>
      </c>
      <c r="B17" s="1" t="s">
        <v>84</v>
      </c>
      <c r="C17" s="1" t="s">
        <v>41</v>
      </c>
      <c r="D17" s="1" t="s">
        <v>85</v>
      </c>
      <c r="F17">
        <v>5</v>
      </c>
      <c r="G17" s="1" t="s">
        <v>32</v>
      </c>
      <c r="H17" s="1">
        <f t="shared" si="0"/>
        <v>0.48210000000000003</v>
      </c>
    </row>
    <row r="18" spans="1:8" x14ac:dyDescent="0.35">
      <c r="A18" s="1" t="s">
        <v>86</v>
      </c>
      <c r="B18" s="1" t="s">
        <v>87</v>
      </c>
      <c r="C18" s="1" t="s">
        <v>41</v>
      </c>
      <c r="D18" s="1" t="s">
        <v>85</v>
      </c>
      <c r="F18">
        <v>1</v>
      </c>
      <c r="G18" s="1" t="s">
        <v>32</v>
      </c>
      <c r="H18" s="1">
        <f t="shared" si="0"/>
        <v>9.6420000000000006E-2</v>
      </c>
    </row>
    <row r="19" spans="1:8" x14ac:dyDescent="0.35">
      <c r="A19" s="1" t="s">
        <v>88</v>
      </c>
      <c r="B19" s="1" t="s">
        <v>89</v>
      </c>
      <c r="C19" s="1" t="s">
        <v>41</v>
      </c>
      <c r="D19" s="1" t="s">
        <v>85</v>
      </c>
      <c r="F19">
        <v>1</v>
      </c>
      <c r="G19" s="1" t="s">
        <v>32</v>
      </c>
      <c r="H19" s="1">
        <f t="shared" si="0"/>
        <v>9.6420000000000006E-2</v>
      </c>
    </row>
    <row r="20" spans="1:8" x14ac:dyDescent="0.35">
      <c r="A20" s="1" t="s">
        <v>90</v>
      </c>
      <c r="B20" s="1" t="s">
        <v>91</v>
      </c>
      <c r="C20" s="1" t="s">
        <v>41</v>
      </c>
      <c r="D20" s="1" t="s">
        <v>85</v>
      </c>
      <c r="F20">
        <v>2</v>
      </c>
      <c r="G20" s="1" t="s">
        <v>32</v>
      </c>
      <c r="H20" s="1">
        <f t="shared" si="0"/>
        <v>0.19284000000000001</v>
      </c>
    </row>
    <row r="21" spans="1:8" x14ac:dyDescent="0.35">
      <c r="A21" s="1" t="s">
        <v>92</v>
      </c>
      <c r="B21" s="1" t="s">
        <v>93</v>
      </c>
      <c r="C21" s="1" t="s">
        <v>41</v>
      </c>
      <c r="D21" s="1" t="s">
        <v>85</v>
      </c>
      <c r="F21">
        <v>1</v>
      </c>
      <c r="G21" s="1" t="s">
        <v>32</v>
      </c>
      <c r="H21" s="1">
        <f t="shared" si="0"/>
        <v>9.6420000000000006E-2</v>
      </c>
    </row>
    <row r="22" spans="1:8" x14ac:dyDescent="0.35">
      <c r="A22" s="1" t="s">
        <v>94</v>
      </c>
      <c r="B22" s="1" t="s">
        <v>95</v>
      </c>
      <c r="C22" s="1" t="s">
        <v>41</v>
      </c>
      <c r="D22" s="1" t="s">
        <v>85</v>
      </c>
      <c r="F22">
        <v>2</v>
      </c>
      <c r="G22" s="1" t="s">
        <v>32</v>
      </c>
      <c r="H22" s="1">
        <f t="shared" si="0"/>
        <v>0.19284000000000001</v>
      </c>
    </row>
    <row r="23" spans="1:8" x14ac:dyDescent="0.35">
      <c r="A23" s="1" t="s">
        <v>96</v>
      </c>
      <c r="B23" s="1" t="s">
        <v>97</v>
      </c>
      <c r="C23" s="1" t="s">
        <v>41</v>
      </c>
      <c r="D23" s="1" t="s">
        <v>85</v>
      </c>
      <c r="F23">
        <v>2</v>
      </c>
      <c r="G23" s="1" t="s">
        <v>32</v>
      </c>
      <c r="H23" s="1">
        <f t="shared" si="0"/>
        <v>0.19284000000000001</v>
      </c>
    </row>
    <row r="24" spans="1:8" x14ac:dyDescent="0.35">
      <c r="A24" s="1" t="s">
        <v>98</v>
      </c>
      <c r="B24" s="1" t="s">
        <v>99</v>
      </c>
      <c r="C24" s="1" t="s">
        <v>41</v>
      </c>
      <c r="D24" s="1" t="s">
        <v>85</v>
      </c>
      <c r="F24">
        <v>2</v>
      </c>
      <c r="G24" s="1" t="s">
        <v>32</v>
      </c>
      <c r="H24" s="1">
        <f t="shared" si="0"/>
        <v>0.19284000000000001</v>
      </c>
    </row>
    <row r="25" spans="1:8" x14ac:dyDescent="0.35">
      <c r="A25" s="1" t="s">
        <v>100</v>
      </c>
      <c r="B25" s="1" t="s">
        <v>101</v>
      </c>
      <c r="C25" s="1" t="s">
        <v>41</v>
      </c>
      <c r="D25" s="1" t="s">
        <v>85</v>
      </c>
      <c r="F25">
        <v>2</v>
      </c>
      <c r="G25" s="1" t="s">
        <v>32</v>
      </c>
      <c r="H25" s="1">
        <f t="shared" si="0"/>
        <v>0.19284000000000001</v>
      </c>
    </row>
    <row r="26" spans="1:8" x14ac:dyDescent="0.35">
      <c r="A26" s="1" t="s">
        <v>102</v>
      </c>
      <c r="B26" s="1" t="s">
        <v>103</v>
      </c>
      <c r="C26" s="1" t="s">
        <v>41</v>
      </c>
      <c r="D26" s="1" t="s">
        <v>85</v>
      </c>
      <c r="F26">
        <v>1</v>
      </c>
      <c r="G26" s="1" t="s">
        <v>32</v>
      </c>
      <c r="H26" s="1">
        <f t="shared" si="0"/>
        <v>9.6420000000000006E-2</v>
      </c>
    </row>
    <row r="27" spans="1:8" x14ac:dyDescent="0.35">
      <c r="A27" s="1" t="s">
        <v>104</v>
      </c>
      <c r="B27" s="1" t="s">
        <v>105</v>
      </c>
      <c r="C27" s="1" t="s">
        <v>41</v>
      </c>
      <c r="D27" s="1" t="s">
        <v>106</v>
      </c>
      <c r="F27">
        <v>1</v>
      </c>
      <c r="G27" s="1" t="s">
        <v>32</v>
      </c>
      <c r="H27" s="1">
        <f t="shared" si="0"/>
        <v>9.6420000000000006E-2</v>
      </c>
    </row>
    <row r="28" spans="1:8" x14ac:dyDescent="0.35">
      <c r="A28" s="1" t="s">
        <v>107</v>
      </c>
      <c r="B28" s="1" t="s">
        <v>131</v>
      </c>
      <c r="C28" s="1" t="s">
        <v>32</v>
      </c>
      <c r="D28" s="1" t="s">
        <v>108</v>
      </c>
      <c r="F28">
        <v>1</v>
      </c>
      <c r="G28" s="1" t="s">
        <v>32</v>
      </c>
      <c r="H28" s="1">
        <f t="shared" si="0"/>
        <v>9.6420000000000006E-2</v>
      </c>
    </row>
    <row r="29" spans="1:8" x14ac:dyDescent="0.35">
      <c r="A29" s="1" t="s">
        <v>109</v>
      </c>
      <c r="B29" s="1" t="s">
        <v>110</v>
      </c>
      <c r="C29" s="1" t="s">
        <v>32</v>
      </c>
      <c r="D29" s="1" t="s">
        <v>111</v>
      </c>
      <c r="F29">
        <v>1</v>
      </c>
      <c r="G29" s="1" t="s">
        <v>32</v>
      </c>
      <c r="H29" s="1">
        <f t="shared" si="0"/>
        <v>9.6420000000000006E-2</v>
      </c>
    </row>
    <row r="30" spans="1:8" x14ac:dyDescent="0.35">
      <c r="A30" s="1" t="s">
        <v>112</v>
      </c>
      <c r="B30" s="1" t="s">
        <v>113</v>
      </c>
      <c r="C30" s="1" t="s">
        <v>113</v>
      </c>
      <c r="D30" s="1" t="s">
        <v>114</v>
      </c>
      <c r="F30">
        <v>1</v>
      </c>
      <c r="G30" s="1" t="s">
        <v>32</v>
      </c>
      <c r="H30" s="1">
        <f t="shared" si="0"/>
        <v>9.6420000000000006E-2</v>
      </c>
    </row>
    <row r="31" spans="1:8" x14ac:dyDescent="0.35">
      <c r="A31" s="1" t="s">
        <v>115</v>
      </c>
      <c r="B31" s="1" t="s">
        <v>116</v>
      </c>
      <c r="C31" s="1" t="s">
        <v>116</v>
      </c>
      <c r="D31" s="1" t="s">
        <v>117</v>
      </c>
      <c r="F31">
        <v>1</v>
      </c>
      <c r="G31" s="1" t="s">
        <v>32</v>
      </c>
      <c r="H31" s="1">
        <f t="shared" si="0"/>
        <v>9.6420000000000006E-2</v>
      </c>
    </row>
    <row r="32" spans="1:8" x14ac:dyDescent="0.35">
      <c r="A32" s="1" t="s">
        <v>118</v>
      </c>
      <c r="B32" s="1" t="s">
        <v>119</v>
      </c>
      <c r="C32" s="1" t="s">
        <v>120</v>
      </c>
      <c r="D32" s="1" t="s">
        <v>121</v>
      </c>
      <c r="F32">
        <v>2</v>
      </c>
      <c r="G32" s="1" t="s">
        <v>32</v>
      </c>
      <c r="H32" s="1">
        <f t="shared" si="0"/>
        <v>0.19284000000000001</v>
      </c>
    </row>
    <row r="33" spans="1:8" x14ac:dyDescent="0.35">
      <c r="A33" s="1"/>
      <c r="B33" s="1"/>
      <c r="C33" s="1"/>
      <c r="D33" s="1"/>
      <c r="F33" s="1"/>
      <c r="G33" s="1"/>
      <c r="H33" s="1" t="s">
        <v>125</v>
      </c>
    </row>
    <row r="34" spans="1:8" x14ac:dyDescent="0.35">
      <c r="A34" s="1"/>
      <c r="B34" s="1"/>
      <c r="C34" s="1"/>
      <c r="D34" s="1"/>
      <c r="F34" s="1"/>
      <c r="G34" s="1"/>
      <c r="H34" s="1">
        <f>SUM(H2:H32)</f>
        <v>6.9307200000000044</v>
      </c>
    </row>
  </sheetData>
  <hyperlinks>
    <hyperlink ref="C6" r:id="rId1" xr:uid="{85E8EFE4-7C27-4F3F-8401-12D662960A86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A33"/>
  <sheetViews>
    <sheetView workbookViewId="0">
      <selection activeCell="F11" sqref="F11"/>
    </sheetView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>
      <c r="A4" t="s">
        <v>3</v>
      </c>
    </row>
    <row r="5" spans="1:1" ht="15.5" x14ac:dyDescent="0.35">
      <c r="A5" t="s">
        <v>4</v>
      </c>
    </row>
    <row r="6" spans="1:1" ht="15.5" x14ac:dyDescent="0.35">
      <c r="A6" t="s">
        <v>5</v>
      </c>
    </row>
    <row r="7" spans="1:1" ht="15.5" x14ac:dyDescent="0.35">
      <c r="A7" t="s">
        <v>6</v>
      </c>
    </row>
    <row r="8" spans="1:1" ht="15.5" x14ac:dyDescent="0.35">
      <c r="A8" t="s">
        <v>7</v>
      </c>
    </row>
    <row r="9" spans="1:1" ht="15.5" x14ac:dyDescent="0.35">
      <c r="A9" t="s">
        <v>8</v>
      </c>
    </row>
    <row r="10" spans="1:1" ht="15.5" x14ac:dyDescent="0.35">
      <c r="A10" t="s">
        <v>9</v>
      </c>
    </row>
    <row r="11" spans="1:1" ht="15.5" x14ac:dyDescent="0.35">
      <c r="A11" t="s">
        <v>10</v>
      </c>
    </row>
    <row r="12" spans="1:1" ht="15.5" x14ac:dyDescent="0.35">
      <c r="A12" t="s">
        <v>11</v>
      </c>
    </row>
    <row r="13" spans="1:1" ht="15.5" x14ac:dyDescent="0.35">
      <c r="A13" t="s">
        <v>12</v>
      </c>
    </row>
    <row r="14" spans="1:1" ht="15.5" x14ac:dyDescent="0.35">
      <c r="A14" t="s">
        <v>13</v>
      </c>
    </row>
    <row r="15" spans="1:1" ht="15.5" x14ac:dyDescent="0.35">
      <c r="A15" t="s">
        <v>14</v>
      </c>
    </row>
    <row r="16" spans="1:1" ht="15.5" x14ac:dyDescent="0.35">
      <c r="A16" t="s">
        <v>15</v>
      </c>
    </row>
    <row r="17" spans="1:1" ht="15.5" x14ac:dyDescent="0.35">
      <c r="A17" t="s">
        <v>16</v>
      </c>
    </row>
    <row r="18" spans="1:1" ht="15.5" x14ac:dyDescent="0.35">
      <c r="A18" t="s">
        <v>17</v>
      </c>
    </row>
    <row r="19" spans="1:1" ht="15.5" x14ac:dyDescent="0.35">
      <c r="A19" t="s">
        <v>18</v>
      </c>
    </row>
    <row r="20" spans="1:1" ht="15.5" x14ac:dyDescent="0.35">
      <c r="A20" t="s">
        <v>19</v>
      </c>
    </row>
    <row r="21" spans="1:1" ht="15.5" x14ac:dyDescent="0.35">
      <c r="A21" t="s">
        <v>20</v>
      </c>
    </row>
    <row r="22" spans="1:1" ht="15.5" x14ac:dyDescent="0.35">
      <c r="A22" t="s">
        <v>21</v>
      </c>
    </row>
    <row r="23" spans="1:1" ht="15.5" x14ac:dyDescent="0.35">
      <c r="A23" t="s">
        <v>22</v>
      </c>
    </row>
    <row r="24" spans="1:1" ht="15.5" x14ac:dyDescent="0.35">
      <c r="A24" t="s">
        <v>23</v>
      </c>
    </row>
    <row r="25" spans="1:1" ht="15.5" x14ac:dyDescent="0.35">
      <c r="A25" t="s">
        <v>24</v>
      </c>
    </row>
    <row r="26" spans="1:1" ht="15.5" x14ac:dyDescent="0.35">
      <c r="A26" t="s">
        <v>25</v>
      </c>
    </row>
    <row r="27" spans="1:1" ht="15.5" x14ac:dyDescent="0.35">
      <c r="A27" t="s">
        <v>26</v>
      </c>
    </row>
    <row r="28" spans="1:1" ht="15.5" x14ac:dyDescent="0.35">
      <c r="A28" t="s">
        <v>27</v>
      </c>
    </row>
    <row r="29" spans="1:1" ht="15.5" x14ac:dyDescent="0.35">
      <c r="A29" t="s">
        <v>28</v>
      </c>
    </row>
    <row r="30" spans="1:1" ht="15.5" x14ac:dyDescent="0.35">
      <c r="A30" t="s">
        <v>29</v>
      </c>
    </row>
    <row r="31" spans="1:1" ht="15.5" x14ac:dyDescent="0.35">
      <c r="A31" t="s">
        <v>30</v>
      </c>
    </row>
    <row r="32" spans="1:1" ht="15.5" x14ac:dyDescent="0.35">
      <c r="A32" t="s">
        <v>31</v>
      </c>
    </row>
    <row r="33" spans="1:1" ht="15.5" x14ac:dyDescent="0.35">
      <c r="A33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D8110-DAB9-4B07-9DEF-A1B8E56B8F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BOM_DigiKey_Active_Stock</vt:lpstr>
      <vt:lpstr>BOM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Daumantas Dauksas</cp:lastModifiedBy>
  <dcterms:created xsi:type="dcterms:W3CDTF">2026-03-14T10:23:12Z</dcterms:created>
  <dcterms:modified xsi:type="dcterms:W3CDTF">2026-03-14T10:35:00Z</dcterms:modified>
</cp:coreProperties>
</file>